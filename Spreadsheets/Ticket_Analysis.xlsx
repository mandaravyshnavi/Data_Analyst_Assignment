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" sheetId="1" state="visible" r:id="rId3"/>
    <sheet name="feedbacks" sheetId="2" state="visible" r:id="rId4"/>
    <sheet name="Analysis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<sst xmlns="http://schemas.openxmlformats.org/spreadsheetml/2006/main" count="125" uniqueCount="68">
  <si>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</si>
  <si>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</si>
  <si>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</si>
  <si>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</si>
  <si>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</si>
  <si>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</si>
  <si>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</si>
  <si>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</si>
  <si>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</si>
  <si>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</si>
  <si>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</si>
  <si>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</si>
  <si>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</si>
  <si>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</si>
  <si>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cms-xyz-001</t>
  </si>
  <si>
    <t xml:space="preserve">abc-123-def</t>
  </si>
  <si>
    <t xml:space="preserve">2021-08-22 08:30:00</t>
  </si>
  <si>
    <t xml:space="preserve">2021-08-22 09:45:00</t>
  </si>
  <si>
    <t xml:space="preserve">cms-abc-002</t>
  </si>
  <si>
    <t xml:space="preserve">lmn-456-opq</t>
  </si>
  <si>
    <t xml:space="preserve">2021-08-23 14:00:00</t>
  </si>
  <si>
    <t xml:space="preserve">2021-08-24 10:00:00</t>
  </si>
  <si>
    <t xml:space="preserve">cms-lmn-003</t>
  </si>
  <si>
    <t xml:space="preserve">rst-789-uvw</t>
  </si>
  <si>
    <t xml:space="preserve">2021-08-23 09:15:00</t>
  </si>
  <si>
    <t xml:space="preserve">2021-08-23 09:55:00</t>
  </si>
  <si>
    <t xml:space="preserve">out-xyz-004</t>
  </si>
  <si>
    <t xml:space="preserve">cms-rst-004</t>
  </si>
  <si>
    <t xml:space="preserve">hij-321-klm</t>
  </si>
  <si>
    <t xml:space="preserve">2021-08-24 11:30:00</t>
  </si>
  <si>
    <t xml:space="preserve">2021-08-24 12:15:00</t>
  </si>
  <si>
    <t xml:space="preserve">cms-hij-005</t>
  </si>
  <si>
    <t xml:space="preserve">pqr-654-stu</t>
  </si>
  <si>
    <t xml:space="preserve">2021-08-25 07:00:00</t>
  </si>
  <si>
    <t xml:space="preserve">2021-08-26 07:30:00</t>
  </si>
  <si>
    <t xml:space="preserve">cms-pqr-006</t>
  </si>
  <si>
    <t xml:space="preserve">feedback_at</t>
  </si>
  <si>
    <t xml:space="preserve">feedback_rating</t>
  </si>
  <si>
    <t xml:space="preserve">ticket_created_at</t>
  </si>
  <si>
    <t xml:space="preserve">2021-08-21 13:26:48</t>
  </si>
  <si>
    <t xml:space="preserve">2021-08-22 10:00:00</t>
  </si>
  <si>
    <t xml:space="preserve">2021-08-22 11:00:00</t>
  </si>
  <si>
    <t xml:space="preserve">2021-08-24 09:00:00</t>
  </si>
  <si>
    <t xml:space="preserve">2021-08-23 10:30:00</t>
  </si>
  <si>
    <t xml:space="preserve">2021-08-24 13:00:00</t>
  </si>
  <si>
    <t xml:space="preserve">2021-08-25 08:00:00</t>
  </si>
  <si>
    <t xml:space="preserve">Ticket Analysis – Helper Columns &amp; Outlet-Wise Counts</t>
  </si>
  <si>
    <t xml:space="preserve">Step 1: Helper Columns added to ticket data</t>
  </si>
  <si>
    <t xml:space="preserve">Same_Day?</t>
  </si>
  <si>
    <t xml:space="preserve">Same_Hour?</t>
  </si>
  <si>
    <t xml:space="preserve">Step 2: Outlet-wise Counts</t>
  </si>
  <si>
    <t xml:space="preserve">Same_Day_Count</t>
  </si>
  <si>
    <t xml:space="preserve">Same_Hour_Count</t>
  </si>
  <si>
    <t xml:space="preserve">Spreadsheet Instructions &amp; Formula Guide</t>
  </si>
  <si>
    <t xml:space="preserve">Q1 – Populate ticket_created_at in feedbacks sheet</t>
  </si>
  <si>
    <t xml:space="preserve">Formula used (column D of feedbacks sheet):</t>
  </si>
  <si>
    <t xml:space="preserve"> =IFERROR(INDEX(ticket!B:B, MATCH(A2, ticket!E:E, 0)), "")</t>
  </si>
  <si>
    <t xml:space="preserve">Explanation: MATCH finds the row where cms_id (col A) appears in ticket!E, then INDEX returns the created_at value from ticket!B.</t>
  </si>
  <si>
    <t xml:space="preserve">Q2a – Outlet-wise count of tickets created &amp; closed on the SAME DAY</t>
  </si>
  <si>
    <t xml:space="preserve">Helper column 'Same_Day?' formula:</t>
  </si>
  <si>
    <t xml:space="preserve"> =IF(INT(DATEVALUE(MID(B2,1,10)))=INT(DATEVALUE(MID(C2,1,10))),"Yes","No")</t>
  </si>
  <si>
    <t xml:space="preserve">Then use COUNTIFS to count per outlet:</t>
  </si>
  <si>
    <t xml:space="preserve"> =COUNTIFS($D$5:$D$11, outlet_id, $F$5:$F$11, "Yes")</t>
  </si>
  <si>
    <t xml:space="preserve">Q2b – Outlet-wise count of tickets created &amp; closed in the SAME HOUR of the same day</t>
  </si>
  <si>
    <t xml:space="preserve">Helper column 'Same_Hour?' formula:</t>
  </si>
  <si>
    <t xml:space="preserve"> =IF(AND(F2="Yes", MID(B2,12,2)=MID(C2,12,2)),"Yes","No")</t>
  </si>
  <si>
    <t xml:space="preserve"> =COUNTIFS($D$5:$D$11, outlet_id, $G$5:$G$11, "Yes")</t>
  </si>
  <si>
    <t xml:space="preserve">Note: The Analysis sheet contains all helper columns and computed outlet counts.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</si>
</sst>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5" min="4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13</v>
      </c>
      <c r="E5" s="2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30</v>
      </c>
      <c r="D7" s="2" t="s">
        <v>26</v>
      </c>
      <c r="E7" s="2" t="s">
        <v>31</v>
      </c>
    </row>
    <row r="8" customFormat="false" ht="15" hidden="false" customHeight="false" outlineLevel="0" collapsed="false">
      <c r="A8" s="2" t="s">
        <v>32</v>
      </c>
      <c r="B8" s="2" t="s">
        <v>33</v>
      </c>
      <c r="C8" s="2" t="s">
        <v>34</v>
      </c>
      <c r="D8" s="2" t="s">
        <v>8</v>
      </c>
      <c r="E8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" t="s">
        <v>4</v>
      </c>
      <c r="B1" s="1" t="s">
        <v>36</v>
      </c>
      <c r="C1" s="1" t="s">
        <v>37</v>
      </c>
      <c r="D1" s="1" t="s">
        <v>38</v>
      </c>
    </row>
    <row r="2" customFormat="false" ht="15" hidden="false" customHeight="false" outlineLevel="0" collapsed="false">
      <c r="A2" s="3" t="s">
        <v>9</v>
      </c>
      <c r="B2" s="3" t="s">
        <v>39</v>
      </c>
      <c r="C2" s="4" t="n">
        <v>3</v>
      </c>
      <c r="D2" s="5" t="str">
        <f aca="false">IFERROR(INDEX(ticket!B:B, MATCH(A2, ticket!E:E, 0)), "")</f>
        <v>2021-08-19 16:45:43</v>
      </c>
    </row>
    <row r="3" customFormat="false" ht="15" hidden="false" customHeight="false" outlineLevel="0" collapsed="false">
      <c r="A3" s="3" t="s">
        <v>14</v>
      </c>
      <c r="B3" s="3" t="s">
        <v>40</v>
      </c>
      <c r="C3" s="4" t="n">
        <v>4</v>
      </c>
      <c r="D3" s="5" t="str">
        <f aca="false">IFERROR(INDEX(ticket!B:B, MATCH(A3, ticket!E:E, 0)), "")</f>
        <v>2021-08-21 11:09:22</v>
      </c>
    </row>
    <row r="4" customFormat="false" ht="15" hidden="false" customHeight="false" outlineLevel="0" collapsed="false">
      <c r="A4" s="3" t="s">
        <v>18</v>
      </c>
      <c r="B4" s="3" t="s">
        <v>41</v>
      </c>
      <c r="C4" s="4" t="n">
        <v>5</v>
      </c>
      <c r="D4" s="5" t="str">
        <f aca="false">IFERROR(INDEX(ticket!B:B, MATCH(A4, ticket!E:E, 0)), "")</f>
        <v>2021-08-22 08:30:00</v>
      </c>
    </row>
    <row r="5" customFormat="false" ht="15" hidden="false" customHeight="false" outlineLevel="0" collapsed="false">
      <c r="A5" s="3" t="s">
        <v>22</v>
      </c>
      <c r="B5" s="3" t="s">
        <v>42</v>
      </c>
      <c r="C5" s="4" t="n">
        <v>2</v>
      </c>
      <c r="D5" s="5" t="str">
        <f aca="false">IFERROR(INDEX(ticket!B:B, MATCH(A5, ticket!E:E, 0)), "")</f>
        <v>2021-08-23 14:00:00</v>
      </c>
    </row>
    <row r="6" customFormat="false" ht="15" hidden="false" customHeight="false" outlineLevel="0" collapsed="false">
      <c r="A6" s="3" t="s">
        <v>27</v>
      </c>
      <c r="B6" s="3" t="s">
        <v>43</v>
      </c>
      <c r="C6" s="4" t="n">
        <v>4</v>
      </c>
      <c r="D6" s="5" t="str">
        <f aca="false">IFERROR(INDEX(ticket!B:B, MATCH(A6, ticket!E:E, 0)), "")</f>
        <v>2021-08-23 09:15:00</v>
      </c>
    </row>
    <row r="7" customFormat="false" ht="15" hidden="false" customHeight="false" outlineLevel="0" collapsed="false">
      <c r="A7" s="3" t="s">
        <v>31</v>
      </c>
      <c r="B7" s="3" t="s">
        <v>44</v>
      </c>
      <c r="C7" s="4" t="n">
        <v>3</v>
      </c>
      <c r="D7" s="5" t="str">
        <f aca="false">IFERROR(INDEX(ticket!B:B, MATCH(A7, ticket!E:E, 0)), "")</f>
        <v>2021-08-24 11:30:00</v>
      </c>
    </row>
    <row r="8" customFormat="false" ht="15" hidden="false" customHeight="false" outlineLevel="0" collapsed="false">
      <c r="A8" s="3" t="s">
        <v>35</v>
      </c>
      <c r="B8" s="3" t="s">
        <v>45</v>
      </c>
      <c r="C8" s="4" t="n">
        <v>5</v>
      </c>
      <c r="D8" s="5" t="str">
        <f aca="false">IFERROR(INDEX(ticket!B:B, MATCH(A8, ticket!E:E, 0)), "")</f>
        <v>2021-08-25 07:00:00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5" min="4" style="0" width="18"/>
    <col collapsed="false" customWidth="true" hidden="false" outlineLevel="0" max="7" min="6" style="0" width="14"/>
  </cols>
  <sheetData>
    <row r="1" customFormat="false" ht="24" hidden="false" customHeight="true" outlineLevel="0" collapsed="false">
      <c r="A1" s="6" t="s">
        <v>46</v>
      </c>
    </row>
    <row r="3" customFormat="false" ht="15" hidden="false" customHeight="false" outlineLevel="0" collapsed="false">
      <c r="A3" s="7" t="s">
        <v>47</v>
      </c>
    </row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48</v>
      </c>
      <c r="G4" s="1" t="s">
        <v>49</v>
      </c>
    </row>
    <row r="5" customFormat="false" ht="15" hidden="false" customHeight="false" outlineLevel="0" collapsed="false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5" t="str">
        <f aca="false">IF(INT(DATEVALUE(MID(B5,1,10)))=INT(DATEVALUE(MID(C5,1,10))),"Yes","No")</f>
        <v>No</v>
      </c>
      <c r="G5" s="5" t="str">
        <f aca="false">IF(AND(F5="Yes",MID(B5,12,2)=MID(C5,12,2)),"Yes","No")</f>
        <v>No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5" t="str">
        <f aca="false">IF(INT(DATEVALUE(MID(B6,1,10)))=INT(DATEVALUE(MID(C6,1,10))),"Yes","No")</f>
        <v>Yes</v>
      </c>
      <c r="G6" s="5" t="str">
        <f aca="false">IF(AND(F6="Yes",MID(B6,12,2)=MID(C6,12,2)),"Yes","No")</f>
        <v>No</v>
      </c>
    </row>
    <row r="7" customFormat="false" ht="15" hidden="false" customHeight="false" outlineLevel="0" collapsed="false">
      <c r="A7" s="2" t="s">
        <v>15</v>
      </c>
      <c r="B7" s="2" t="s">
        <v>16</v>
      </c>
      <c r="C7" s="2" t="s">
        <v>17</v>
      </c>
      <c r="D7" s="2" t="s">
        <v>8</v>
      </c>
      <c r="E7" s="2" t="s">
        <v>18</v>
      </c>
      <c r="F7" s="5" t="str">
        <f aca="false">IF(INT(DATEVALUE(MID(B7,1,10)))=INT(DATEVALUE(MID(C7,1,10))),"Yes","No")</f>
        <v>Yes</v>
      </c>
      <c r="G7" s="5" t="str">
        <f aca="false">IF(AND(F7="Yes",MID(B7,12,2)=MID(C7,12,2)),"Yes","No")</f>
        <v>No</v>
      </c>
    </row>
    <row r="8" customFormat="false" ht="15" hidden="false" customHeight="false" outlineLevel="0" collapsed="false">
      <c r="A8" s="2" t="s">
        <v>19</v>
      </c>
      <c r="B8" s="2" t="s">
        <v>20</v>
      </c>
      <c r="C8" s="2" t="s">
        <v>21</v>
      </c>
      <c r="D8" s="2" t="s">
        <v>13</v>
      </c>
      <c r="E8" s="2" t="s">
        <v>22</v>
      </c>
      <c r="F8" s="5" t="str">
        <f aca="false">IF(INT(DATEVALUE(MID(B8,1,10)))=INT(DATEVALUE(MID(C8,1,10))),"Yes","No")</f>
        <v>No</v>
      </c>
      <c r="G8" s="5" t="str">
        <f aca="false">IF(AND(F8="Yes",MID(B8,12,2)=MID(C8,12,2)),"Yes","No")</f>
        <v>No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5" t="str">
        <f aca="false">IF(INT(DATEVALUE(MID(B9,1,10)))=INT(DATEVALUE(MID(C9,1,10))),"Yes","No")</f>
        <v>Yes</v>
      </c>
      <c r="G9" s="5" t="str">
        <f aca="false">IF(AND(F9="Yes",MID(B9,12,2)=MID(C9,12,2)),"Yes","No")</f>
        <v>Yes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2" t="s">
        <v>30</v>
      </c>
      <c r="D10" s="2" t="s">
        <v>26</v>
      </c>
      <c r="E10" s="2" t="s">
        <v>31</v>
      </c>
      <c r="F10" s="5" t="str">
        <f aca="false">IF(INT(DATEVALUE(MID(B10,1,10)))=INT(DATEVALUE(MID(C10,1,10))),"Yes","No")</f>
        <v>Yes</v>
      </c>
      <c r="G10" s="5" t="str">
        <f aca="false">IF(AND(F10="Yes",MID(B10,12,2)=MID(C10,12,2)),"Yes","No")</f>
        <v>No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8</v>
      </c>
      <c r="E11" s="2" t="s">
        <v>35</v>
      </c>
      <c r="F11" s="5" t="str">
        <f aca="false">IF(INT(DATEVALUE(MID(B11,1,10)))=INT(DATEVALUE(MID(C11,1,10))),"Yes","No")</f>
        <v>No</v>
      </c>
      <c r="G11" s="5" t="str">
        <f aca="false">IF(AND(F11="Yes",MID(B11,12,2)=MID(C11,12,2)),"Yes","No")</f>
        <v>No</v>
      </c>
    </row>
    <row r="14" customFormat="false" ht="15" hidden="false" customHeight="false" outlineLevel="0" collapsed="false">
      <c r="A14" s="7" t="s">
        <v>50</v>
      </c>
    </row>
    <row r="15" customFormat="false" ht="15" hidden="false" customHeight="false" outlineLevel="0" collapsed="false">
      <c r="A15" s="1" t="s">
        <v>3</v>
      </c>
      <c r="B15" s="1" t="s">
        <v>51</v>
      </c>
      <c r="C15" s="1" t="s">
        <v>52</v>
      </c>
    </row>
    <row r="16" customFormat="false" ht="15" hidden="false" customHeight="false" outlineLevel="0" collapsed="false">
      <c r="A16" s="3" t="s">
        <v>8</v>
      </c>
      <c r="B16" s="8" t="n">
        <f aca="false">COUNTIFS($D$5:$D$11,A16,$F$5:$F$11,"Yes")</f>
        <v>1</v>
      </c>
      <c r="C16" s="8" t="n">
        <f aca="false">COUNTIFS($D$5:$D$11,A16,$G$5:$G$11,"Yes")</f>
        <v>0</v>
      </c>
    </row>
    <row r="17" customFormat="false" ht="15" hidden="false" customHeight="false" outlineLevel="0" collapsed="false">
      <c r="A17" s="3" t="s">
        <v>13</v>
      </c>
      <c r="B17" s="8" t="n">
        <f aca="false">COUNTIFS($D$5:$D$11,A17,$F$5:$F$11,"Yes")</f>
        <v>1</v>
      </c>
      <c r="C17" s="8" t="n">
        <f aca="false">COUNTIFS($D$5:$D$11,A17,$G$5:$G$11,"Yes")</f>
        <v>0</v>
      </c>
    </row>
    <row r="18" customFormat="false" ht="15" hidden="false" customHeight="false" outlineLevel="0" collapsed="false">
      <c r="A18" s="3" t="s">
        <v>26</v>
      </c>
      <c r="B18" s="8" t="n">
        <f aca="false">COUNTIFS($D$5:$D$11,A18,$F$5:$F$11,"Yes")</f>
        <v>2</v>
      </c>
      <c r="C18" s="8" t="n">
        <f aca="false">COUNTIFS($D$5:$D$11,A18,$G$5:$G$11,"Yes")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5" hidden="false" customHeight="true" outlineLevel="0" collapsed="false">
      <c r="A1" s="9" t="s">
        <v>53</v>
      </c>
    </row>
    <row r="2" customFormat="false" ht="7.5" hidden="false" customHeight="true" outlineLevel="0" collapsed="false">
      <c r="A2" s="10"/>
    </row>
    <row r="3" customFormat="false" ht="19.5" hidden="false" customHeight="true" outlineLevel="0" collapsed="false">
      <c r="A3" s="11" t="s">
        <v>54</v>
      </c>
    </row>
    <row r="4" customFormat="false" ht="19.5" hidden="false" customHeight="true" outlineLevel="0" collapsed="false">
      <c r="A4" s="10" t="s">
        <v>55</v>
      </c>
    </row>
    <row r="5" customFormat="false" ht="19.5" hidden="false" customHeight="true" outlineLevel="0" collapsed="false">
      <c r="A5" s="12" t="s">
        <v>56</v>
      </c>
    </row>
    <row r="6" customFormat="false" ht="19.5" hidden="false" customHeight="true" outlineLevel="0" collapsed="false">
      <c r="A6" s="10" t="s">
        <v>57</v>
      </c>
    </row>
    <row r="7" customFormat="false" ht="7.5" hidden="false" customHeight="true" outlineLevel="0" collapsed="false">
      <c r="A7" s="10"/>
    </row>
    <row r="8" customFormat="false" ht="19.5" hidden="false" customHeight="true" outlineLevel="0" collapsed="false">
      <c r="A8" s="11" t="s">
        <v>58</v>
      </c>
    </row>
    <row r="9" customFormat="false" ht="19.5" hidden="false" customHeight="true" outlineLevel="0" collapsed="false">
      <c r="A9" s="10" t="s">
        <v>59</v>
      </c>
    </row>
    <row r="10" customFormat="false" ht="19.5" hidden="false" customHeight="true" outlineLevel="0" collapsed="false">
      <c r="A10" s="12" t="s">
        <v>60</v>
      </c>
    </row>
    <row r="11" customFormat="false" ht="19.5" hidden="false" customHeight="true" outlineLevel="0" collapsed="false">
      <c r="A11" s="10" t="s">
        <v>61</v>
      </c>
    </row>
    <row r="12" customFormat="false" ht="19.5" hidden="false" customHeight="true" outlineLevel="0" collapsed="false">
      <c r="A12" s="12" t="s">
        <v>62</v>
      </c>
    </row>
    <row r="13" customFormat="false" ht="7.5" hidden="false" customHeight="true" outlineLevel="0" collapsed="false">
      <c r="A13" s="10"/>
    </row>
    <row r="14" customFormat="false" ht="19.5" hidden="false" customHeight="true" outlineLevel="0" collapsed="false">
      <c r="A14" s="11" t="s">
        <v>63</v>
      </c>
    </row>
    <row r="15" customFormat="false" ht="19.5" hidden="false" customHeight="true" outlineLevel="0" collapsed="false">
      <c r="A15" s="10" t="s">
        <v>64</v>
      </c>
    </row>
    <row r="16" customFormat="false" ht="19.5" hidden="false" customHeight="true" outlineLevel="0" collapsed="false">
      <c r="A16" s="12" t="s">
        <v>65</v>
      </c>
    </row>
    <row r="17" customFormat="false" ht="19.5" hidden="false" customHeight="true" outlineLevel="0" collapsed="false">
      <c r="A17" s="10" t="s">
        <v>61</v>
      </c>
    </row>
    <row r="18" customFormat="false" ht="19.5" hidden="false" customHeight="true" outlineLevel="0" collapsed="false">
      <c r="A18" s="12" t="s">
        <v>66</v>
      </c>
    </row>
    <row r="19" customFormat="false" ht="7.5" hidden="false" customHeight="true" outlineLevel="0" collapsed="false">
      <c r="A19" s="10"/>
    </row>
    <row r="20" customFormat="false" ht="19.5" hidden="false" customHeight="true" outlineLevel="0" collapsed="false">
      <c r="A20" s="1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2026-04-09T06:19:10Z</dcterms:created>
  <dc:creator>openpyxl</dc:creator>
  <dc:description/>
  <dc:language>en-US</dc:language>
  <cp:lastModifiedBy/>
  <dcterms:modified xsi:type="dcterms:W3CDTF">2026-04-09T06:19:10Z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